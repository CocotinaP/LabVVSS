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defaultThemeVersion="124226"/>
  <mc:AlternateContent xmlns:mc="http://schemas.openxmlformats.org/markup-compatibility/2006">
    <mc:Choice Requires="x15">
      <x15ac:absPath xmlns:x15ac="http://schemas.microsoft.com/office/spreadsheetml/2010/11/ac" url="C:\Users\cosmi\OneDrive\Desktop\FMI-UBB\Anul_III\Semestrul_II\VVSS\Laborator\LabVVSS\docs\Lab01\"/>
    </mc:Choice>
  </mc:AlternateContent>
  <xr:revisionPtr revIDLastSave="0" documentId="13_ncr:1_{E316130C-4E09-403D-9EBB-E3CFB55BE089}" xr6:coauthVersionLast="47" xr6:coauthVersionMax="47" xr10:uidLastSave="{00000000-0000-0000-0000-000000000000}"/>
  <bookViews>
    <workbookView xWindow="-108" yWindow="-108" windowWidth="23256" windowHeight="12456" tabRatio="650" activeTab="1" xr2:uid="{00000000-000D-0000-FFFF-FFFF00000000}"/>
  </bookViews>
  <sheets>
    <sheet name="Requirements Phase Defects" sheetId="7" r:id="rId1"/>
    <sheet name="Architect. Design Phase Defects" sheetId="6" r:id="rId2"/>
    <sheet name="Coding Phase Defects" sheetId="5" r:id="rId3"/>
    <sheet name="Tool-basedCodeAnalysis" sheetId="8"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5" l="1"/>
  <c r="B13" i="5" s="1"/>
  <c r="B11" i="7"/>
  <c r="B11" i="8"/>
  <c r="B12" i="8" s="1"/>
  <c r="B13" i="8" s="1"/>
  <c r="B14" i="8" s="1"/>
  <c r="B15" i="8" s="1"/>
  <c r="B16" i="8" s="1"/>
  <c r="B17" i="8" s="1"/>
  <c r="B18" i="8" s="1"/>
  <c r="B19" i="8" s="1"/>
  <c r="B20" i="8" s="1"/>
  <c r="B21" i="8" s="1"/>
  <c r="B22" i="8" s="1"/>
  <c r="B23" i="8" s="1"/>
  <c r="B24" i="8" s="1"/>
  <c r="B25" i="8" s="1"/>
  <c r="B26" i="8" s="1"/>
  <c r="B27" i="8" s="1"/>
  <c r="B28" i="8" s="1"/>
  <c r="B29" i="8" s="1"/>
  <c r="B30" i="8" s="1"/>
  <c r="B12" i="7" l="1"/>
  <c r="B13" i="7" s="1"/>
  <c r="B14" i="7" s="1"/>
  <c r="B15" i="7" s="1"/>
  <c r="B16" i="7" s="1"/>
  <c r="B17" i="7" s="1"/>
  <c r="B18" i="7" s="1"/>
  <c r="B19" i="7" s="1"/>
  <c r="B20" i="7" s="1"/>
  <c r="B21" i="7" s="1"/>
  <c r="B22" i="7" s="1"/>
  <c r="B23" i="7" s="1"/>
  <c r="B24" i="7" s="1"/>
  <c r="B25" i="7" s="1"/>
  <c r="B11" i="6"/>
  <c r="B12" i="6" s="1"/>
  <c r="B13" i="6" s="1"/>
  <c r="B14" i="6" s="1"/>
  <c r="B15" i="6" s="1"/>
  <c r="B16" i="6" s="1"/>
  <c r="B17" i="6" s="1"/>
  <c r="B18" i="6" s="1"/>
  <c r="B19" i="6" s="1"/>
  <c r="B20" i="6" s="1"/>
  <c r="B21" i="6" s="1"/>
  <c r="B22" i="6" s="1"/>
  <c r="B23" i="6" s="1"/>
  <c r="B24" i="6" s="1"/>
  <c r="B25" i="6" s="1"/>
  <c r="B26" i="6" s="1"/>
  <c r="B14" i="5"/>
  <c r="B15" i="5" s="1"/>
  <c r="B16" i="5" s="1"/>
  <c r="B17" i="5" s="1"/>
  <c r="B18" i="5" s="1"/>
  <c r="B19" i="5" s="1"/>
  <c r="B20" i="5" s="1"/>
  <c r="B21" i="5" s="1"/>
  <c r="B22" i="5" s="1"/>
  <c r="B23" i="5" s="1"/>
  <c r="B24" i="5" s="1"/>
  <c r="B25" i="5" s="1"/>
  <c r="B26" i="5" s="1"/>
  <c r="B27" i="5" s="1"/>
  <c r="B28" i="5" s="1"/>
  <c r="B29" i="5" s="1"/>
</calcChain>
</file>

<file path=xl/sharedStrings.xml><?xml version="1.0" encoding="utf-8"?>
<sst xmlns="http://schemas.openxmlformats.org/spreadsheetml/2006/main" count="177" uniqueCount="108">
  <si>
    <t>Document  Title:</t>
  </si>
  <si>
    <t xml:space="preserve">Review date: </t>
  </si>
  <si>
    <t>Reviewer Name:</t>
  </si>
  <si>
    <t>do not print this form</t>
  </si>
  <si>
    <t>Crt. No.</t>
  </si>
  <si>
    <t>Checked Item</t>
  </si>
  <si>
    <t>Doc. page/line</t>
  </si>
  <si>
    <t>Comments/ improvements</t>
  </si>
  <si>
    <t>Effort to review document (hours):</t>
  </si>
  <si>
    <t>Author Name:</t>
  </si>
  <si>
    <t xml:space="preserve">Author Name: </t>
  </si>
  <si>
    <t>Popescu Ionel</t>
  </si>
  <si>
    <t>Georgescu Anca</t>
  </si>
  <si>
    <t>Firicescu George</t>
  </si>
  <si>
    <t>Requirements Document</t>
  </si>
  <si>
    <t>Architectural Design Document</t>
  </si>
  <si>
    <t>Coding Document</t>
  </si>
  <si>
    <t>Review Form. Coding Defects</t>
  </si>
  <si>
    <t>Review Form. Architectural Design Defects</t>
  </si>
  <si>
    <t>Review Form. Requirements Defects</t>
  </si>
  <si>
    <t>Student 1:</t>
  </si>
  <si>
    <t>Student 2:</t>
  </si>
  <si>
    <t>Student 3:</t>
  </si>
  <si>
    <t>Echipa</t>
  </si>
  <si>
    <t>Grupa</t>
  </si>
  <si>
    <t>Tool used:</t>
  </si>
  <si>
    <t>Before</t>
  </si>
  <si>
    <t>Issue</t>
  </si>
  <si>
    <t>File, Line</t>
  </si>
  <si>
    <t>After/Argument</t>
  </si>
  <si>
    <t>Numele si prenumele</t>
  </si>
  <si>
    <t>Tool-based Code Analysis</t>
  </si>
  <si>
    <t>Effort to perform tool-based code analysis (hours):</t>
  </si>
  <si>
    <t>Popovici Cosmina-Maria</t>
  </si>
  <si>
    <t>235/2</t>
  </si>
  <si>
    <t>Petri Dan</t>
  </si>
  <si>
    <t>Preduca Matei</t>
  </si>
  <si>
    <t>26.02.2026</t>
  </si>
  <si>
    <t>25-27, 32, 33</t>
  </si>
  <si>
    <t>25-27</t>
  </si>
  <si>
    <t>R01</t>
  </si>
  <si>
    <t>R02</t>
  </si>
  <si>
    <t>R03</t>
  </si>
  <si>
    <t>R04</t>
  </si>
  <si>
    <t>R05</t>
  </si>
  <si>
    <t>R06</t>
  </si>
  <si>
    <t>R07</t>
  </si>
  <si>
    <t>X</t>
  </si>
  <si>
    <t>Nu se specifică ce se întâmplă când stocul ingredientelor este 0. Nu este specificat cum se finalizează comanda (doar printr-un buton de finalizare, sau prin confirmarea plății (card/ cash - în cazul plății cash, trebuie calculat și restul care trebuie înapoiat). Nu se specifică dacă raportul de la finalul zilei se face automat sau nu (dacă se face automat, trebuie inclus și programul pentru a ști când se închide casa). Nu este specificat fluxul complet al unei comenzi (ex.: statusuri, anulare, modificare). Nu este specificat dacă există autentificare au roluri.</t>
  </si>
  <si>
    <t>Nu se precizeză faptul că/ dacă stocul poate fi refăcut/ modificat (atunci când are loc aprovizionarea). Ar trebui ca rețetele să poată fi vizualizate și editate (nu doar adăugate). Nu este definit modul de validare al datelor.</t>
  </si>
  <si>
    <t>Cerințele nu sunt incorecte, doar incomplete.</t>
  </si>
  <si>
    <t xml:space="preserve">Nu se specifică starea inițială a sitemului, ce se afilșează la pronirea aplicației. </t>
  </si>
  <si>
    <t xml:space="preserve">Nu se specifică cine plasează comenzile (clienții - au și ei acces la aplicație? - sau doar chelenerii?). Nu este definit modul de calcul al rețetelor (ce se întâmplă dacă un ingredient lipsește?). </t>
  </si>
  <si>
    <t>Nu este clar cine este utilizatorul (vânzător? administrator? client?). Nu este clar dacă utilizatorul are nevoie de (căutare de produse, filtrare după categorie).</t>
  </si>
  <si>
    <t>Nu este specificat dacă aplicație trebuie să ruleze offline sau dacă este client-server (dacă are nevoie de comunicare prin rețea).</t>
  </si>
  <si>
    <t>3 &amp; 28, 28-31</t>
  </si>
  <si>
    <t>30 min</t>
  </si>
  <si>
    <t>Popovici Cosmina-Maria, Petri Dan, Preduca Matei</t>
  </si>
  <si>
    <t>05.03.2026</t>
  </si>
  <si>
    <t>A01</t>
  </si>
  <si>
    <t>A02</t>
  </si>
  <si>
    <t>A05</t>
  </si>
  <si>
    <t>A06</t>
  </si>
  <si>
    <t>Clasele de Validare și de Excepții sunt definite, dar nu sunt integrate în arhitectura aplicației (nu sunt folosite).</t>
  </si>
  <si>
    <t>Se folosesc șabloanele: Repository, MVC.</t>
  </si>
  <si>
    <t>Ar fi de preferat ca pentru fiecare tip de Repository să existe o interfață specifică, care să o extindă pe cea generală. În timp se poate încălca principiul Segregării Iterfețelor din SOLID.</t>
  </si>
  <si>
    <t>Partiționarea/ arhitectura pachetelor este inconsitentă. Se amestecă separarea pe nivele/ layere (model, business, persistence, ui) cu cea pe funcționalități (există pachete separate pentru: export, receipt, reports). Conform cerinței, arhitectura trebuie să fie una stratificată clar, astfel, clasa DailyReportService din modulul reports, ar trebui pusă în cel de Serivce, iar modulul reports nu ar trebui să existe.</t>
  </si>
  <si>
    <t>30min</t>
  </si>
  <si>
    <t>A10</t>
  </si>
  <si>
    <t>Nu există legătură între Product și Rețeta lui. Avem listă de Prudse și Rețete dar nu știm cum sunt asociate, „care și cum vin”.</t>
  </si>
  <si>
    <t>C06</t>
  </si>
  <si>
    <t>La update ar trebui să se modifice doar ce există. Dacă entity, nu există deja, ar trebui aruncată o eroare, în care să se anunțe utilizatorul că nu există entitate pe care vrea să o modifice.</t>
  </si>
  <si>
    <t>C01</t>
  </si>
  <si>
    <t>Prețul ar putea fi zero, dacă e ceva din partea casei. (ProductValidator).</t>
  </si>
  <si>
    <t>StocService (line:73)</t>
  </si>
  <si>
    <t>C11</t>
  </si>
  <si>
    <t>Nu se fac validări.</t>
  </si>
  <si>
    <t>DrinkShopController (line: 233)</t>
  </si>
  <si>
    <t>1h</t>
  </si>
  <si>
    <t xml:space="preserve"> Se aruncă partea zecimală
Dacă ai stoc 10.5 și consumi 0.7, rezultatul devine 9.8, dar tu îl convertești la int → 9.
Asta duce la pierdere de precizie și stoc incorect.
Stoc.getCantitate() este double, dar este tratat ca int
Dacă ingredientele pot avea cantități fracționale (de ex. 0.5 litri, 0.2 kg), conversia la int este greșită.*</t>
  </si>
  <si>
    <t>Ultimul parametrul al constructorului ar trebui să se numească stocRepo, pentru a fi sugestiv.*</t>
  </si>
  <si>
    <t>ID-ul rețetei este generat ca size + 1.
Dacă ștergi o rețetă, se generează un ID duplicat.*</t>
  </si>
  <si>
    <t>Popovici Cosmina-Maria,Petri Dan,Preduca Matei</t>
  </si>
  <si>
    <t>SonarQube</t>
  </si>
  <si>
    <t>OrderItem, line 7</t>
  </si>
  <si>
    <t>Make non-static "product" transient or serializable.</t>
  </si>
  <si>
    <r>
      <t xml:space="preserve">public class </t>
    </r>
    <r>
      <rPr>
        <sz val="9.8000000000000007"/>
        <color rgb="FFBCBEC4"/>
        <rFont val="JetBrains Mono"/>
        <family val="3"/>
      </rPr>
      <t>Product</t>
    </r>
  </si>
  <si>
    <t>Add at least one assertion in this case</t>
  </si>
  <si>
    <t>ProductTest</t>
  </si>
  <si>
    <t>package drinkshop.domain;
import org.junit.jupiter.api.AfterEach;
import org.junit.jupiter.api.BeforeEach;
import org.junit.jupiter.api.Test;
import static org.junit.jupiter.api.Assertions.*;
class ProductTest {
    Product product;
    @BeforeEach
    void setUp() {
        product =new Product(100, "Limonada", 10.0, CategorieBautura.JUICE, TipBautura.WATER_BASED);
    }
    @AfterEach
    void tearDown() {
        product = null;
    }
    @Test
    void getId() {
        assertEquals(100, product.getId());
    }
    @Test
    void getNume() {
        assertEquals("Limonada", product.getNume());
    }
    @Test
    void getPret() {
        assertEquals(10.0, product.getPret());
    }
    @Test
    void getCategorie() {
        assertEquals(CategorieBautura.JUICE, product.getCategorie());
    }
    @Test
    void setCategorie() {
        product.setCategorie(CategorieBautura.SMOOTHIE);
        assertEquals(CategorieBautura.SMOOTHIE, product.getCategorie());
    }
    @Test
    void getTip() {
        assertEquals(TipBautura.WATER_BASED, product.getTip());
    }
    @Test
    void setTip() {
        product.setTip(TipBautura.BASIC);
        assertEquals(TipBautura.BASIC, product.getTip());
    }
    @Test
    void setNume() {
        product.setNume("newLimonada");
        assertEquals("newLimonada", product.getNume());
    }
    @Test
    void setPret() {
        product.setPret(10.05);
        assertEquals(10.05, product.getPret());
    }
    @Test
    void testToString() {
        assertEquals("Limonada (JUICE, WATER_BASED) - 10.0 lei", product.toString());
    }
}</t>
  </si>
  <si>
    <t>public class Product implements Serializable</t>
  </si>
  <si>
    <t>package drinkshop.domain;
import org.junit.jupiter.api.AfterEach;
import org.junit.jupiter.api.BeforeEach;
import org.junit.jupiter.api.Test;
import static org.junit.jupiter.api.Assertions.*;
class ProductTest {
    Product product;
    @BeforeEach
    void setUp() {
        product =new Product(100, "Limonada", 10.0, CategorieBautura.JUICE, TipBautura.WATER_BASED);
    }
    @AfterEach
    void tearDown() {
        product = null;
    }
    @Test
    void getId() {
        assert 100 == product.getId();
    }
    @Test
    void getNume() {
        assert "Limonada".equals(product.getNume());
    }
    @Test
    void getPret() {
        assert 10.0 == product.getPret();
    }
    @Test
    void getCategorie() {
        assert CategorieBautura.JUICE.equals(product.getCategorie());
    }
    @Test
    void setCategorie() {
        product.setCategorie(CategorieBautura.SMOOTHIE);
        assert CategorieBautura.SMOOTHIE.equals(product.getCategorie());
    }
    @Test
    void getTip() {
        assert TipBautura.WATER_BASED.equals(product.getTip());
    }
    @Test
    void setTip() {
        product.setTip(TipBautura.BASIC);
        assert TipBautura.BASIC.equals(product.getTip());
    }
    @Test
    void setNume() {
        product.setNume("newLimonada");
        assert "newLimonada".equals(product.getNume());
    }
    @Test
    void setPret() {
        product.setPret(10.05);
        assert 10.05 == product.getPret();
    }
    @Test
    void testToString() {
        System.out.println(product.toString());
        assert "Limonada (JUICE, WATER_BASED) - 10.0 lei".equals(product.toString());
    }
}</t>
  </si>
  <si>
    <t>Update this method so that its implementation is not identical to "save" on line 26.</t>
  </si>
  <si>
    <t>AbstractRepository, 37-40</t>
  </si>
  <si>
    <t xml:space="preserve">
    public E update(E entity) {
        entities.put(getId(entity), entity);
        return entity;
    }</t>
  </si>
  <si>
    <t xml:space="preserve">
public E update(E entity) {
    ID id = getId(entity);
    // dacă nu există, nu facem update
    if (!entities.containsKey(id)) {
        return null; // sau poți arunca o excepție
    }
    // înlocuim doar dacă exista
    entities.put(id, entity);
    return entity;
}</t>
  </si>
  <si>
    <t>CsvExporter, 14</t>
  </si>
  <si>
    <t>Add a private constructor to hide the implicit public one.</t>
  </si>
  <si>
    <t>nu era</t>
  </si>
  <si>
    <t>private CsvExporter(){
    }</t>
  </si>
  <si>
    <t>Use "isEmpty()" to check whether a "StringBuilder" is empty or not.</t>
  </si>
  <si>
    <t>FileOrderRepository, 59</t>
  </si>
  <si>
    <t>if (sb.length() &gt; 0) {
                sb.append("|");
            }</t>
  </si>
  <si>
    <t>if (sb.isEmpty()) {
                sb.append("|");
            }</t>
  </si>
  <si>
    <t>A "NullPointerException" could be thrown; "ingrediente" is nullable here.</t>
  </si>
  <si>
    <t>RetetaValidator, 23</t>
  </si>
  <si>
    <t xml:space="preserve"> if (ingrediente == null || ingrediente.isEmpty())
            errors.accumulateAndGet("Ingrediente empty!\n", String::concat);
        ingrediente.stream()
                .filter(entry -&gt; entry.getCantitate() &lt;= 0)
                .forEach(entry -&gt; {
                    errors.accumulateAndGet("[" + entry.getDenumire() + "]"+ "cantitate negativa sau zero", String::concat);
                });</t>
  </si>
  <si>
    <t>if (ingrediente != null) {
            ingrediente.stream()
                    .filter(entry -&gt; entry.getCantitate() &lt;= 0)
                    .forEach(entry -&gt; {
                        errors.accumulateAndGet("[" + entry.getDenumire() + "]" + "cantitate negativa sau zero", String::concat);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</si>
</sst>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amily val="2"/>
      <charset val="238"/>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b/>
      <sz val="12"/>
      <color rgb="FF000080"/>
      <name val="Calibri"/>
      <family val="2"/>
      <scheme val="minor"/>
    </font>
    <font>
      <i/>
      <sz val="9"/>
      <color rgb="FFC00000"/>
      <name val="Calibri"/>
      <family val="2"/>
      <scheme val="minor"/>
    </font>
    <font>
      <b/>
      <i/>
      <sz val="11"/>
      <color theme="1"/>
      <name val="Calibri"/>
      <family val="2"/>
      <scheme val="minor"/>
    </font>
    <font>
      <sz val="9.8000000000000007"/>
      <color rgb="FFBCBEC4"/>
      <name val="JetBrains Mono"/>
      <family val="3"/>
    </font>
    <font>
      <sz val="9.8000000000000007"/>
      <color rgb="FFCF8E6D"/>
      <name val="JetBrains Mono"/>
      <family val="3"/>
    </font>
  </fonts>
  <fills count="5">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s>
  <cellStyleXfs count="1">
    <xf numFmtId="0" fontId="0" fillId="0" borderId="0"/>
  </cellStyleXfs>
  <cellXfs count="48">
    <xf numFmtId="0" fontId="0" fillId="0" borderId="0" xfId="0"/>
    <xf numFmtId="0" fontId="10" fillId="0" borderId="1" xfId="0" applyFont="1" applyBorder="1"/>
    <xf numFmtId="0" fontId="10" fillId="0" borderId="1" xfId="0" applyFont="1" applyBorder="1" applyAlignment="1">
      <alignment wrapText="1"/>
    </xf>
    <xf numFmtId="0" fontId="8" fillId="0" borderId="1" xfId="0" applyFont="1" applyBorder="1"/>
    <xf numFmtId="0" fontId="11" fillId="0" borderId="0" xfId="0" applyFont="1"/>
    <xf numFmtId="0" fontId="12" fillId="0" borderId="0" xfId="0" applyFont="1"/>
    <xf numFmtId="0" fontId="8" fillId="0" borderId="0" xfId="0" applyFont="1"/>
    <xf numFmtId="0" fontId="9" fillId="3" borderId="1" xfId="0" applyFont="1" applyFill="1" applyBorder="1"/>
    <xf numFmtId="0" fontId="9" fillId="0" borderId="0" xfId="0" applyFont="1"/>
    <xf numFmtId="0" fontId="9" fillId="0" borderId="1" xfId="0" applyFont="1" applyBorder="1"/>
    <xf numFmtId="0" fontId="9" fillId="0" borderId="1" xfId="0" applyFont="1" applyBorder="1" applyAlignment="1">
      <alignment horizontal="center" vertical="center"/>
    </xf>
    <xf numFmtId="0" fontId="9" fillId="0" borderId="2" xfId="0" applyFont="1" applyBorder="1"/>
    <xf numFmtId="0" fontId="9" fillId="0" borderId="3" xfId="0" applyFont="1" applyBorder="1"/>
    <xf numFmtId="0" fontId="9" fillId="2" borderId="1" xfId="0" applyFont="1" applyFill="1" applyBorder="1"/>
    <xf numFmtId="0" fontId="9" fillId="0" borderId="1" xfId="0" applyFont="1" applyBorder="1" applyAlignment="1">
      <alignment horizontal="center" vertical="center" wrapText="1"/>
    </xf>
    <xf numFmtId="0" fontId="8" fillId="0" borderId="1" xfId="0" applyFont="1" applyBorder="1" applyAlignment="1">
      <alignment wrapText="1"/>
    </xf>
    <xf numFmtId="0" fontId="9" fillId="4" borderId="1" xfId="0" applyFont="1" applyFill="1" applyBorder="1"/>
    <xf numFmtId="0" fontId="7" fillId="0" borderId="1" xfId="0" applyFont="1" applyBorder="1"/>
    <xf numFmtId="0" fontId="10" fillId="0" borderId="0" xfId="0" applyFont="1"/>
    <xf numFmtId="0" fontId="6" fillId="0" borderId="1" xfId="0" applyFont="1" applyBorder="1"/>
    <xf numFmtId="0" fontId="5" fillId="0" borderId="0" xfId="0" applyFont="1"/>
    <xf numFmtId="0" fontId="4" fillId="0" borderId="0" xfId="0" applyFont="1"/>
    <xf numFmtId="0" fontId="3" fillId="0" borderId="1" xfId="0" applyFont="1" applyBorder="1"/>
    <xf numFmtId="0" fontId="8" fillId="0" borderId="1" xfId="0" applyFont="1" applyBorder="1" applyAlignment="1">
      <alignment vertical="center"/>
    </xf>
    <xf numFmtId="0" fontId="10" fillId="0" borderId="1" xfId="0" applyFont="1" applyBorder="1" applyAlignment="1">
      <alignment vertical="center"/>
    </xf>
    <xf numFmtId="0" fontId="10" fillId="0" borderId="1" xfId="0" applyFont="1" applyBorder="1" applyAlignment="1">
      <alignment vertical="center" wrapText="1"/>
    </xf>
    <xf numFmtId="0" fontId="2" fillId="0" borderId="1" xfId="0" applyFont="1" applyBorder="1"/>
    <xf numFmtId="0" fontId="10" fillId="0" borderId="1" xfId="0" applyFont="1" applyBorder="1" applyAlignment="1">
      <alignment vertical="top" wrapText="1"/>
    </xf>
    <xf numFmtId="0" fontId="1" fillId="0" borderId="1" xfId="0" applyFont="1" applyBorder="1"/>
    <xf numFmtId="0" fontId="0" fillId="0" borderId="0" xfId="0" applyAlignment="1">
      <alignment wrapText="1"/>
    </xf>
    <xf numFmtId="0" fontId="15" fillId="0" borderId="0" xfId="0" applyFont="1" applyAlignment="1">
      <alignment vertical="center"/>
    </xf>
    <xf numFmtId="0" fontId="0" fillId="0" borderId="0" xfId="0" applyAlignment="1">
      <alignment horizontal="left" vertical="center" indent="1"/>
    </xf>
    <xf numFmtId="0" fontId="9" fillId="0" borderId="1" xfId="0" applyFont="1" applyBorder="1" applyAlignment="1">
      <alignment horizontal="right"/>
    </xf>
    <xf numFmtId="0" fontId="7" fillId="0" borderId="1" xfId="0" applyFont="1" applyBorder="1" applyAlignment="1">
      <alignment horizontal="center"/>
    </xf>
    <xf numFmtId="0" fontId="9" fillId="0" borderId="0" xfId="0" applyFont="1" applyAlignment="1">
      <alignment horizontal="center"/>
    </xf>
    <xf numFmtId="0" fontId="9" fillId="2" borderId="1" xfId="0" applyFont="1" applyFill="1" applyBorder="1" applyAlignment="1">
      <alignment horizontal="right"/>
    </xf>
    <xf numFmtId="0" fontId="13" fillId="2" borderId="2" xfId="0" applyFont="1" applyFill="1" applyBorder="1" applyAlignment="1">
      <alignment horizontal="right"/>
    </xf>
    <xf numFmtId="0" fontId="13" fillId="2" borderId="4" xfId="0" applyFont="1" applyFill="1" applyBorder="1" applyAlignment="1">
      <alignment horizontal="right"/>
    </xf>
    <xf numFmtId="0" fontId="9" fillId="3" borderId="1" xfId="0" applyFont="1" applyFill="1" applyBorder="1" applyAlignment="1">
      <alignment horizontal="right"/>
    </xf>
    <xf numFmtId="0" fontId="13" fillId="3" borderId="2" xfId="0" applyFont="1" applyFill="1" applyBorder="1" applyAlignment="1">
      <alignment horizontal="right"/>
    </xf>
    <xf numFmtId="0" fontId="13" fillId="3" borderId="4" xfId="0" applyFont="1" applyFill="1" applyBorder="1" applyAlignment="1">
      <alignment horizontal="right"/>
    </xf>
    <xf numFmtId="0" fontId="9" fillId="4" borderId="1" xfId="0" applyFont="1" applyFill="1" applyBorder="1" applyAlignment="1">
      <alignment horizontal="right"/>
    </xf>
    <xf numFmtId="0" fontId="13" fillId="4" borderId="2" xfId="0" applyFont="1" applyFill="1" applyBorder="1" applyAlignment="1">
      <alignment horizontal="right"/>
    </xf>
    <xf numFmtId="0" fontId="13" fillId="4" borderId="4" xfId="0" applyFont="1" applyFill="1" applyBorder="1" applyAlignment="1">
      <alignment horizontal="right"/>
    </xf>
    <xf numFmtId="0" fontId="9" fillId="0" borderId="5" xfId="0" applyFont="1" applyBorder="1" applyAlignment="1">
      <alignment horizontal="left"/>
    </xf>
    <xf numFmtId="0" fontId="9" fillId="0" borderId="0" xfId="0" applyFont="1" applyAlignment="1">
      <alignment horizontal="left"/>
    </xf>
    <xf numFmtId="0" fontId="9" fillId="0" borderId="2" xfId="0" applyFont="1" applyBorder="1" applyAlignment="1">
      <alignment horizontal="right"/>
    </xf>
    <xf numFmtId="0" fontId="9" fillId="0" borderId="4" xfId="0" applyFont="1" applyBorder="1" applyAlignment="1">
      <alignment horizontal="righ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6" Type="http://schemas.openxmlformats.org/officeDocument/2006/relationships/image" Target="../media/image8.png"/><Relationship Id="rId5" Type="http://schemas.openxmlformats.org/officeDocument/2006/relationships/image" Target="../media/image7.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5</xdr:col>
      <xdr:colOff>472440</xdr:colOff>
      <xdr:row>8</xdr:row>
      <xdr:rowOff>1</xdr:rowOff>
    </xdr:from>
    <xdr:to>
      <xdr:col>13</xdr:col>
      <xdr:colOff>105795</xdr:colOff>
      <xdr:row>12</xdr:row>
      <xdr:rowOff>23969</xdr:rowOff>
    </xdr:to>
    <xdr:pic>
      <xdr:nvPicPr>
        <xdr:cNvPr id="2" name="Picture 1">
          <a:extLst>
            <a:ext uri="{FF2B5EF4-FFF2-40B4-BE49-F238E27FC236}">
              <a16:creationId xmlns:a16="http://schemas.microsoft.com/office/drawing/2014/main" id="{D0CCA220-B30F-303C-FEC3-DF11AF2756FB}"/>
            </a:ext>
          </a:extLst>
        </xdr:cNvPr>
        <xdr:cNvPicPr>
          <a:picLocks noChangeAspect="1"/>
        </xdr:cNvPicPr>
      </xdr:nvPicPr>
      <xdr:blipFill>
        <a:blip xmlns:r="http://schemas.openxmlformats.org/officeDocument/2006/relationships" r:embed="rId1"/>
        <a:stretch>
          <a:fillRect/>
        </a:stretch>
      </xdr:blipFill>
      <xdr:spPr>
        <a:xfrm>
          <a:off x="6987540" y="1478281"/>
          <a:ext cx="5721735" cy="349868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579592</xdr:colOff>
      <xdr:row>6</xdr:row>
      <xdr:rowOff>53340</xdr:rowOff>
    </xdr:from>
    <xdr:to>
      <xdr:col>13</xdr:col>
      <xdr:colOff>292519</xdr:colOff>
      <xdr:row>15</xdr:row>
      <xdr:rowOff>118969</xdr:rowOff>
    </xdr:to>
    <xdr:pic>
      <xdr:nvPicPr>
        <xdr:cNvPr id="2" name="Picture 1">
          <a:extLst>
            <a:ext uri="{FF2B5EF4-FFF2-40B4-BE49-F238E27FC236}">
              <a16:creationId xmlns:a16="http://schemas.microsoft.com/office/drawing/2014/main" id="{6F59392C-7A22-01BB-1197-2A7637B74461}"/>
            </a:ext>
          </a:extLst>
        </xdr:cNvPr>
        <xdr:cNvPicPr>
          <a:picLocks noChangeAspect="1"/>
        </xdr:cNvPicPr>
      </xdr:nvPicPr>
      <xdr:blipFill>
        <a:blip xmlns:r="http://schemas.openxmlformats.org/officeDocument/2006/relationships" r:embed="rId1"/>
        <a:stretch>
          <a:fillRect/>
        </a:stretch>
      </xdr:blipFill>
      <xdr:spPr>
        <a:xfrm>
          <a:off x="7094692" y="1165860"/>
          <a:ext cx="5496507" cy="447760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117186</xdr:colOff>
      <xdr:row>8</xdr:row>
      <xdr:rowOff>15240</xdr:rowOff>
    </xdr:from>
    <xdr:to>
      <xdr:col>12</xdr:col>
      <xdr:colOff>350520</xdr:colOff>
      <xdr:row>14</xdr:row>
      <xdr:rowOff>316499</xdr:rowOff>
    </xdr:to>
    <xdr:pic>
      <xdr:nvPicPr>
        <xdr:cNvPr id="2" name="Picture 1">
          <a:extLst>
            <a:ext uri="{FF2B5EF4-FFF2-40B4-BE49-F238E27FC236}">
              <a16:creationId xmlns:a16="http://schemas.microsoft.com/office/drawing/2014/main" id="{AEC49B75-690D-A171-DA8F-C9A475B87D43}"/>
            </a:ext>
          </a:extLst>
        </xdr:cNvPr>
        <xdr:cNvPicPr>
          <a:picLocks noChangeAspect="1"/>
        </xdr:cNvPicPr>
      </xdr:nvPicPr>
      <xdr:blipFill>
        <a:blip xmlns:r="http://schemas.openxmlformats.org/officeDocument/2006/relationships" r:embed="rId1"/>
        <a:stretch>
          <a:fillRect/>
        </a:stretch>
      </xdr:blipFill>
      <xdr:spPr>
        <a:xfrm>
          <a:off x="7363806" y="1493520"/>
          <a:ext cx="5117754" cy="4797059"/>
        </a:xfrm>
        <a:prstGeom prst="rect">
          <a:avLst/>
        </a:prstGeom>
      </xdr:spPr>
    </xdr:pic>
    <xdr:clientData/>
  </xdr:twoCellAnchor>
  <xdr:twoCellAnchor editAs="oneCell">
    <xdr:from>
      <xdr:col>3</xdr:col>
      <xdr:colOff>1</xdr:colOff>
      <xdr:row>9</xdr:row>
      <xdr:rowOff>0</xdr:rowOff>
    </xdr:from>
    <xdr:to>
      <xdr:col>3</xdr:col>
      <xdr:colOff>2461713</xdr:colOff>
      <xdr:row>9</xdr:row>
      <xdr:rowOff>876300</xdr:rowOff>
    </xdr:to>
    <xdr:pic>
      <xdr:nvPicPr>
        <xdr:cNvPr id="4" name="Picture 3">
          <a:extLst>
            <a:ext uri="{FF2B5EF4-FFF2-40B4-BE49-F238E27FC236}">
              <a16:creationId xmlns:a16="http://schemas.microsoft.com/office/drawing/2014/main" id="{5036D883-A9FC-E30C-26BB-D85DEB6571B2}"/>
            </a:ext>
          </a:extLst>
        </xdr:cNvPr>
        <xdr:cNvPicPr>
          <a:picLocks noChangeAspect="1"/>
        </xdr:cNvPicPr>
      </xdr:nvPicPr>
      <xdr:blipFill>
        <a:blip xmlns:r="http://schemas.openxmlformats.org/officeDocument/2006/relationships" r:embed="rId2"/>
        <a:stretch>
          <a:fillRect/>
        </a:stretch>
      </xdr:blipFill>
      <xdr:spPr>
        <a:xfrm>
          <a:off x="2560321" y="1661160"/>
          <a:ext cx="2461712" cy="876300"/>
        </a:xfrm>
        <a:prstGeom prst="rect">
          <a:avLst/>
        </a:prstGeom>
      </xdr:spPr>
    </xdr:pic>
    <xdr:clientData/>
  </xdr:twoCellAnchor>
  <xdr:twoCellAnchor editAs="oneCell">
    <xdr:from>
      <xdr:col>3</xdr:col>
      <xdr:colOff>1</xdr:colOff>
      <xdr:row>10</xdr:row>
      <xdr:rowOff>0</xdr:rowOff>
    </xdr:from>
    <xdr:to>
      <xdr:col>3</xdr:col>
      <xdr:colOff>2484121</xdr:colOff>
      <xdr:row>10</xdr:row>
      <xdr:rowOff>467923</xdr:rowOff>
    </xdr:to>
    <xdr:pic>
      <xdr:nvPicPr>
        <xdr:cNvPr id="5" name="Picture 4">
          <a:extLst>
            <a:ext uri="{FF2B5EF4-FFF2-40B4-BE49-F238E27FC236}">
              <a16:creationId xmlns:a16="http://schemas.microsoft.com/office/drawing/2014/main" id="{1C672197-B0F2-5EB1-EF57-4C777DD10E2E}"/>
            </a:ext>
          </a:extLst>
        </xdr:cNvPr>
        <xdr:cNvPicPr>
          <a:picLocks noChangeAspect="1"/>
        </xdr:cNvPicPr>
      </xdr:nvPicPr>
      <xdr:blipFill>
        <a:blip xmlns:r="http://schemas.openxmlformats.org/officeDocument/2006/relationships" r:embed="rId3"/>
        <a:stretch>
          <a:fillRect/>
        </a:stretch>
      </xdr:blipFill>
      <xdr:spPr>
        <a:xfrm>
          <a:off x="2560321" y="3314700"/>
          <a:ext cx="2484120" cy="467923"/>
        </a:xfrm>
        <a:prstGeom prst="rect">
          <a:avLst/>
        </a:prstGeom>
      </xdr:spPr>
    </xdr:pic>
    <xdr:clientData/>
  </xdr:twoCellAnchor>
  <xdr:twoCellAnchor editAs="oneCell">
    <xdr:from>
      <xdr:col>3</xdr:col>
      <xdr:colOff>7620</xdr:colOff>
      <xdr:row>11</xdr:row>
      <xdr:rowOff>22860</xdr:rowOff>
    </xdr:from>
    <xdr:to>
      <xdr:col>3</xdr:col>
      <xdr:colOff>2501574</xdr:colOff>
      <xdr:row>11</xdr:row>
      <xdr:rowOff>167640</xdr:rowOff>
    </xdr:to>
    <xdr:pic>
      <xdr:nvPicPr>
        <xdr:cNvPr id="6" name="Picture 5">
          <a:extLst>
            <a:ext uri="{FF2B5EF4-FFF2-40B4-BE49-F238E27FC236}">
              <a16:creationId xmlns:a16="http://schemas.microsoft.com/office/drawing/2014/main" id="{B3062CF3-6305-65F1-23B5-53E591478CD4}"/>
            </a:ext>
          </a:extLst>
        </xdr:cNvPr>
        <xdr:cNvPicPr>
          <a:picLocks noChangeAspect="1"/>
        </xdr:cNvPicPr>
      </xdr:nvPicPr>
      <xdr:blipFill>
        <a:blip xmlns:r="http://schemas.openxmlformats.org/officeDocument/2006/relationships" r:embed="rId4"/>
        <a:stretch>
          <a:fillRect/>
        </a:stretch>
      </xdr:blipFill>
      <xdr:spPr>
        <a:xfrm>
          <a:off x="2567940" y="3863340"/>
          <a:ext cx="2493954" cy="144780"/>
        </a:xfrm>
        <a:prstGeom prst="rect">
          <a:avLst/>
        </a:prstGeom>
      </xdr:spPr>
    </xdr:pic>
    <xdr:clientData/>
  </xdr:twoCellAnchor>
  <xdr:twoCellAnchor editAs="oneCell">
    <xdr:from>
      <xdr:col>3</xdr:col>
      <xdr:colOff>1</xdr:colOff>
      <xdr:row>12</xdr:row>
      <xdr:rowOff>0</xdr:rowOff>
    </xdr:from>
    <xdr:to>
      <xdr:col>3</xdr:col>
      <xdr:colOff>2446021</xdr:colOff>
      <xdr:row>12</xdr:row>
      <xdr:rowOff>785201</xdr:rowOff>
    </xdr:to>
    <xdr:pic>
      <xdr:nvPicPr>
        <xdr:cNvPr id="7" name="Picture 6">
          <a:extLst>
            <a:ext uri="{FF2B5EF4-FFF2-40B4-BE49-F238E27FC236}">
              <a16:creationId xmlns:a16="http://schemas.microsoft.com/office/drawing/2014/main" id="{5DE7CA2F-F878-FC68-80A6-D0DAE4B768E4}"/>
            </a:ext>
          </a:extLst>
        </xdr:cNvPr>
        <xdr:cNvPicPr>
          <a:picLocks noChangeAspect="1"/>
        </xdr:cNvPicPr>
      </xdr:nvPicPr>
      <xdr:blipFill>
        <a:blip xmlns:r="http://schemas.openxmlformats.org/officeDocument/2006/relationships" r:embed="rId5"/>
        <a:stretch>
          <a:fillRect/>
        </a:stretch>
      </xdr:blipFill>
      <xdr:spPr>
        <a:xfrm>
          <a:off x="2560321" y="5669280"/>
          <a:ext cx="2446020" cy="785201"/>
        </a:xfrm>
        <a:prstGeom prst="rect">
          <a:avLst/>
        </a:prstGeom>
      </xdr:spPr>
    </xdr:pic>
    <xdr:clientData/>
  </xdr:twoCellAnchor>
  <xdr:twoCellAnchor editAs="oneCell">
    <xdr:from>
      <xdr:col>3</xdr:col>
      <xdr:colOff>0</xdr:colOff>
      <xdr:row>14</xdr:row>
      <xdr:rowOff>0</xdr:rowOff>
    </xdr:from>
    <xdr:to>
      <xdr:col>3</xdr:col>
      <xdr:colOff>2446020</xdr:colOff>
      <xdr:row>14</xdr:row>
      <xdr:rowOff>257211</xdr:rowOff>
    </xdr:to>
    <xdr:pic>
      <xdr:nvPicPr>
        <xdr:cNvPr id="8" name="Picture 7">
          <a:extLst>
            <a:ext uri="{FF2B5EF4-FFF2-40B4-BE49-F238E27FC236}">
              <a16:creationId xmlns:a16="http://schemas.microsoft.com/office/drawing/2014/main" id="{3E5F62A5-86F5-1F1F-C3DD-1C74DD1819C7}"/>
            </a:ext>
          </a:extLst>
        </xdr:cNvPr>
        <xdr:cNvPicPr>
          <a:picLocks noChangeAspect="1"/>
        </xdr:cNvPicPr>
      </xdr:nvPicPr>
      <xdr:blipFill>
        <a:blip xmlns:r="http://schemas.openxmlformats.org/officeDocument/2006/relationships" r:embed="rId6"/>
        <a:stretch>
          <a:fillRect/>
        </a:stretch>
      </xdr:blipFill>
      <xdr:spPr>
        <a:xfrm>
          <a:off x="2560320" y="6705600"/>
          <a:ext cx="2446020" cy="257211"/>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tint="0.59999389629810485"/>
  </sheetPr>
  <dimension ref="A1:J27"/>
  <sheetViews>
    <sheetView topLeftCell="A9" workbookViewId="0">
      <selection activeCell="D7" sqref="D7:E7"/>
    </sheetView>
  </sheetViews>
  <sheetFormatPr defaultColWidth="8.88671875" defaultRowHeight="14.4"/>
  <cols>
    <col min="1" max="1" width="8.88671875" style="6"/>
    <col min="2" max="2" width="12.21875" style="6" customWidth="1"/>
    <col min="3" max="4" width="16.21875" style="6" customWidth="1"/>
    <col min="5" max="5" width="41.44140625" style="6" customWidth="1"/>
    <col min="6" max="8" width="8.88671875" style="6"/>
    <col min="9" max="9" width="21" style="6" customWidth="1"/>
    <col min="10" max="10" width="14.44140625" style="6" customWidth="1"/>
    <col min="11" max="16384" width="8.88671875" style="6"/>
  </cols>
  <sheetData>
    <row r="1" spans="1:10" ht="15.6">
      <c r="A1" s="4"/>
      <c r="B1" s="5" t="s">
        <v>3</v>
      </c>
      <c r="H1" s="33" t="s">
        <v>23</v>
      </c>
      <c r="I1" s="33"/>
      <c r="J1" s="33"/>
    </row>
    <row r="2" spans="1:10">
      <c r="B2" s="34" t="s">
        <v>19</v>
      </c>
      <c r="C2" s="34"/>
      <c r="D2" s="34"/>
      <c r="E2" s="34"/>
      <c r="H2" s="3"/>
      <c r="I2" s="19" t="s">
        <v>30</v>
      </c>
      <c r="J2" s="17" t="s">
        <v>24</v>
      </c>
    </row>
    <row r="3" spans="1:10">
      <c r="H3" s="17" t="s">
        <v>20</v>
      </c>
      <c r="I3" s="22" t="s">
        <v>33</v>
      </c>
      <c r="J3" s="22" t="s">
        <v>34</v>
      </c>
    </row>
    <row r="4" spans="1:10">
      <c r="C4" s="13" t="s">
        <v>0</v>
      </c>
      <c r="D4" s="35" t="s">
        <v>14</v>
      </c>
      <c r="E4" s="35"/>
      <c r="H4" s="17" t="s">
        <v>21</v>
      </c>
      <c r="I4" s="22" t="s">
        <v>35</v>
      </c>
      <c r="J4" s="22" t="s">
        <v>34</v>
      </c>
    </row>
    <row r="5" spans="1:10">
      <c r="C5" s="13" t="s">
        <v>9</v>
      </c>
      <c r="D5" s="36" t="s">
        <v>13</v>
      </c>
      <c r="E5" s="37"/>
      <c r="H5" s="17" t="s">
        <v>22</v>
      </c>
      <c r="I5" s="22" t="s">
        <v>36</v>
      </c>
      <c r="J5" s="22" t="s">
        <v>34</v>
      </c>
    </row>
    <row r="6" spans="1:10">
      <c r="B6" s="8"/>
      <c r="C6" s="9" t="s">
        <v>2</v>
      </c>
      <c r="D6" s="32" t="s">
        <v>57</v>
      </c>
      <c r="E6" s="32"/>
    </row>
    <row r="7" spans="1:10">
      <c r="C7" s="9" t="s">
        <v>1</v>
      </c>
      <c r="D7" s="32" t="s">
        <v>37</v>
      </c>
      <c r="E7" s="32"/>
    </row>
    <row r="9" spans="1:10">
      <c r="B9" s="10" t="s">
        <v>4</v>
      </c>
      <c r="C9" s="10" t="s">
        <v>5</v>
      </c>
      <c r="D9" s="10" t="s">
        <v>6</v>
      </c>
      <c r="E9" s="14" t="s">
        <v>7</v>
      </c>
    </row>
    <row r="10" spans="1:10" ht="172.8">
      <c r="B10" s="23">
        <v>1</v>
      </c>
      <c r="C10" s="24" t="s">
        <v>40</v>
      </c>
      <c r="D10" s="24" t="s">
        <v>38</v>
      </c>
      <c r="E10" s="25" t="s">
        <v>48</v>
      </c>
    </row>
    <row r="11" spans="1:10" ht="72">
      <c r="B11" s="23">
        <f>B10+1</f>
        <v>2</v>
      </c>
      <c r="C11" s="24" t="s">
        <v>41</v>
      </c>
      <c r="D11" s="24" t="s">
        <v>39</v>
      </c>
      <c r="E11" s="25" t="s">
        <v>49</v>
      </c>
    </row>
    <row r="12" spans="1:10">
      <c r="B12" s="23">
        <f t="shared" ref="B12:B25" si="0">B11+1</f>
        <v>3</v>
      </c>
      <c r="C12" s="24" t="s">
        <v>42</v>
      </c>
      <c r="D12" s="24" t="s">
        <v>47</v>
      </c>
      <c r="E12" s="25" t="s">
        <v>50</v>
      </c>
    </row>
    <row r="13" spans="1:10" ht="28.8">
      <c r="B13" s="23">
        <f t="shared" si="0"/>
        <v>4</v>
      </c>
      <c r="C13" s="24" t="s">
        <v>43</v>
      </c>
      <c r="D13" s="24" t="s">
        <v>47</v>
      </c>
      <c r="E13" s="25" t="s">
        <v>51</v>
      </c>
    </row>
    <row r="14" spans="1:10" ht="57.6">
      <c r="B14" s="23">
        <f t="shared" si="0"/>
        <v>5</v>
      </c>
      <c r="C14" s="24" t="s">
        <v>44</v>
      </c>
      <c r="D14" s="24" t="s">
        <v>55</v>
      </c>
      <c r="E14" s="25" t="s">
        <v>52</v>
      </c>
    </row>
    <row r="15" spans="1:10" ht="57.6">
      <c r="B15" s="23">
        <f t="shared" si="0"/>
        <v>6</v>
      </c>
      <c r="C15" s="24" t="s">
        <v>45</v>
      </c>
      <c r="D15" s="24"/>
      <c r="E15" s="25" t="s">
        <v>53</v>
      </c>
    </row>
    <row r="16" spans="1:10" ht="43.2">
      <c r="B16" s="23">
        <f t="shared" si="0"/>
        <v>7</v>
      </c>
      <c r="C16" s="24" t="s">
        <v>46</v>
      </c>
      <c r="D16" s="24"/>
      <c r="E16" s="25" t="s">
        <v>54</v>
      </c>
    </row>
    <row r="17" spans="2:5">
      <c r="B17" s="3">
        <f t="shared" si="0"/>
        <v>8</v>
      </c>
      <c r="C17" s="1"/>
      <c r="D17" s="1"/>
      <c r="E17" s="2"/>
    </row>
    <row r="18" spans="2:5">
      <c r="B18" s="3">
        <f t="shared" si="0"/>
        <v>9</v>
      </c>
      <c r="C18" s="3"/>
      <c r="D18" s="3"/>
      <c r="E18" s="15"/>
    </row>
    <row r="19" spans="2:5">
      <c r="B19" s="3">
        <f t="shared" si="0"/>
        <v>10</v>
      </c>
      <c r="C19" s="3"/>
      <c r="D19" s="3"/>
      <c r="E19" s="15"/>
    </row>
    <row r="20" spans="2:5">
      <c r="B20" s="3">
        <f t="shared" si="0"/>
        <v>11</v>
      </c>
      <c r="C20" s="3"/>
      <c r="D20" s="3"/>
      <c r="E20" s="15"/>
    </row>
    <row r="21" spans="2:5">
      <c r="B21" s="3">
        <f t="shared" si="0"/>
        <v>12</v>
      </c>
      <c r="C21" s="3"/>
      <c r="D21" s="3"/>
      <c r="E21" s="15"/>
    </row>
    <row r="22" spans="2:5">
      <c r="B22" s="3">
        <f t="shared" si="0"/>
        <v>13</v>
      </c>
      <c r="C22" s="3"/>
      <c r="D22" s="3"/>
      <c r="E22" s="15"/>
    </row>
    <row r="23" spans="2:5">
      <c r="B23" s="3">
        <f t="shared" si="0"/>
        <v>14</v>
      </c>
      <c r="C23" s="3"/>
      <c r="D23" s="3"/>
      <c r="E23" s="15"/>
    </row>
    <row r="24" spans="2:5">
      <c r="B24" s="3">
        <f t="shared" si="0"/>
        <v>15</v>
      </c>
      <c r="C24" s="3"/>
      <c r="D24" s="3"/>
      <c r="E24" s="15"/>
    </row>
    <row r="25" spans="2:5">
      <c r="B25" s="3">
        <f t="shared" si="0"/>
        <v>16</v>
      </c>
      <c r="C25" s="3"/>
      <c r="D25" s="3"/>
      <c r="E25" s="15"/>
    </row>
    <row r="27" spans="2:5">
      <c r="C27" s="11" t="s">
        <v>8</v>
      </c>
      <c r="D27" s="12"/>
      <c r="E27" s="1" t="s">
        <v>56</v>
      </c>
    </row>
  </sheetData>
  <mergeCells count="6">
    <mergeCell ref="D7:E7"/>
    <mergeCell ref="H1:J1"/>
    <mergeCell ref="B2:E2"/>
    <mergeCell ref="D4:E4"/>
    <mergeCell ref="D6:E6"/>
    <mergeCell ref="D5:E5"/>
  </mergeCell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59999389629810485"/>
  </sheetPr>
  <dimension ref="A1:J28"/>
  <sheetViews>
    <sheetView tabSelected="1" topLeftCell="A8" workbookViewId="0">
      <selection activeCell="E14" sqref="E14"/>
    </sheetView>
  </sheetViews>
  <sheetFormatPr defaultColWidth="8.88671875" defaultRowHeight="14.4"/>
  <cols>
    <col min="1" max="1" width="8.88671875" style="6"/>
    <col min="2" max="2" width="12.21875" style="6" customWidth="1"/>
    <col min="3" max="4" width="16.21875" style="6" customWidth="1"/>
    <col min="5" max="5" width="41.44140625" style="6" customWidth="1"/>
    <col min="6" max="8" width="8.88671875" style="6"/>
    <col min="9" max="9" width="22.109375" style="6" customWidth="1"/>
    <col min="10" max="16384" width="8.88671875" style="6"/>
  </cols>
  <sheetData>
    <row r="1" spans="1:10" ht="15.6">
      <c r="A1" s="4"/>
      <c r="B1" s="5" t="s">
        <v>3</v>
      </c>
      <c r="H1" s="33" t="s">
        <v>23</v>
      </c>
      <c r="I1" s="33"/>
      <c r="J1" s="33"/>
    </row>
    <row r="2" spans="1:10">
      <c r="B2" s="34" t="s">
        <v>18</v>
      </c>
      <c r="C2" s="34"/>
      <c r="D2" s="34"/>
      <c r="E2" s="34"/>
      <c r="H2" s="3"/>
      <c r="I2" s="19" t="s">
        <v>30</v>
      </c>
      <c r="J2" s="17" t="s">
        <v>24</v>
      </c>
    </row>
    <row r="3" spans="1:10">
      <c r="H3" s="17" t="s">
        <v>20</v>
      </c>
      <c r="I3" s="26" t="s">
        <v>33</v>
      </c>
      <c r="J3" s="26" t="s">
        <v>34</v>
      </c>
    </row>
    <row r="4" spans="1:10">
      <c r="C4" s="7" t="s">
        <v>0</v>
      </c>
      <c r="D4" s="38" t="s">
        <v>15</v>
      </c>
      <c r="E4" s="38"/>
      <c r="H4" s="17" t="s">
        <v>21</v>
      </c>
      <c r="I4" s="26" t="s">
        <v>35</v>
      </c>
      <c r="J4" s="26" t="s">
        <v>34</v>
      </c>
    </row>
    <row r="5" spans="1:10">
      <c r="C5" s="7" t="s">
        <v>10</v>
      </c>
      <c r="D5" s="39" t="s">
        <v>12</v>
      </c>
      <c r="E5" s="40"/>
      <c r="H5" s="17" t="s">
        <v>22</v>
      </c>
      <c r="I5" s="26" t="s">
        <v>36</v>
      </c>
      <c r="J5" s="26" t="s">
        <v>34</v>
      </c>
    </row>
    <row r="6" spans="1:10">
      <c r="B6" s="8"/>
      <c r="C6" s="9" t="s">
        <v>2</v>
      </c>
      <c r="D6" s="32" t="s">
        <v>57</v>
      </c>
      <c r="E6" s="32"/>
    </row>
    <row r="7" spans="1:10">
      <c r="C7" s="9" t="s">
        <v>1</v>
      </c>
      <c r="D7" s="32" t="s">
        <v>58</v>
      </c>
      <c r="E7" s="32"/>
    </row>
    <row r="9" spans="1:10">
      <c r="B9" s="10" t="s">
        <v>4</v>
      </c>
      <c r="C9" s="10" t="s">
        <v>5</v>
      </c>
      <c r="D9" s="10" t="s">
        <v>6</v>
      </c>
      <c r="E9" s="10" t="s">
        <v>7</v>
      </c>
    </row>
    <row r="10" spans="1:10" ht="57.6">
      <c r="B10" s="3">
        <v>1</v>
      </c>
      <c r="C10" s="1" t="s">
        <v>59</v>
      </c>
      <c r="D10" s="2"/>
      <c r="E10" s="2" t="s">
        <v>65</v>
      </c>
    </row>
    <row r="11" spans="1:10" ht="43.2">
      <c r="B11" s="3">
        <f>B10+1</f>
        <v>2</v>
      </c>
      <c r="C11" s="1" t="s">
        <v>61</v>
      </c>
      <c r="D11" s="2"/>
      <c r="E11" s="2" t="s">
        <v>63</v>
      </c>
    </row>
    <row r="12" spans="1:10" ht="131.4" customHeight="1">
      <c r="B12" s="3">
        <f t="shared" ref="B12:B26" si="0">B11+1</f>
        <v>3</v>
      </c>
      <c r="C12" s="1" t="s">
        <v>60</v>
      </c>
      <c r="D12" s="1"/>
      <c r="E12" s="27" t="s">
        <v>66</v>
      </c>
    </row>
    <row r="13" spans="1:10">
      <c r="B13" s="3">
        <f t="shared" si="0"/>
        <v>4</v>
      </c>
      <c r="C13" s="1" t="s">
        <v>62</v>
      </c>
      <c r="D13" s="1"/>
      <c r="E13" s="2" t="s">
        <v>64</v>
      </c>
    </row>
    <row r="14" spans="1:10" ht="43.2">
      <c r="B14" s="3">
        <f t="shared" si="0"/>
        <v>5</v>
      </c>
      <c r="C14" s="1" t="s">
        <v>68</v>
      </c>
      <c r="D14" s="2"/>
      <c r="E14" s="2" t="s">
        <v>69</v>
      </c>
    </row>
    <row r="15" spans="1:10">
      <c r="B15" s="3">
        <f t="shared" si="0"/>
        <v>6</v>
      </c>
      <c r="C15" s="1"/>
      <c r="D15" s="1"/>
      <c r="E15" s="2"/>
    </row>
    <row r="16" spans="1:10">
      <c r="B16" s="3">
        <f t="shared" si="0"/>
        <v>7</v>
      </c>
      <c r="C16" s="1"/>
      <c r="D16" s="2"/>
      <c r="E16" s="2"/>
    </row>
    <row r="17" spans="2:5">
      <c r="B17" s="3">
        <f t="shared" si="0"/>
        <v>8</v>
      </c>
      <c r="C17" s="1"/>
      <c r="D17" s="2"/>
      <c r="E17" s="2"/>
    </row>
    <row r="18" spans="2:5">
      <c r="B18" s="3">
        <f t="shared" si="0"/>
        <v>9</v>
      </c>
      <c r="C18" s="1"/>
      <c r="D18" s="1"/>
      <c r="E18" s="2"/>
    </row>
    <row r="19" spans="2:5">
      <c r="B19" s="3">
        <f t="shared" si="0"/>
        <v>10</v>
      </c>
      <c r="C19" s="1"/>
      <c r="D19" s="2"/>
      <c r="E19" s="2"/>
    </row>
    <row r="20" spans="2:5">
      <c r="B20" s="3">
        <f t="shared" si="0"/>
        <v>11</v>
      </c>
      <c r="C20" s="1"/>
      <c r="D20" s="1"/>
      <c r="E20" s="2"/>
    </row>
    <row r="21" spans="2:5">
      <c r="B21" s="3">
        <f t="shared" si="0"/>
        <v>12</v>
      </c>
      <c r="C21" s="1"/>
      <c r="D21" s="1"/>
      <c r="E21" s="2"/>
    </row>
    <row r="22" spans="2:5">
      <c r="B22" s="3">
        <f t="shared" si="0"/>
        <v>13</v>
      </c>
      <c r="C22" s="1"/>
      <c r="D22" s="1"/>
      <c r="E22" s="2"/>
    </row>
    <row r="23" spans="2:5">
      <c r="B23" s="3">
        <f t="shared" si="0"/>
        <v>14</v>
      </c>
      <c r="C23" s="1"/>
      <c r="D23" s="1"/>
      <c r="E23" s="2"/>
    </row>
    <row r="24" spans="2:5">
      <c r="B24" s="3">
        <f t="shared" si="0"/>
        <v>15</v>
      </c>
      <c r="C24" s="1"/>
      <c r="D24" s="1"/>
      <c r="E24" s="2"/>
    </row>
    <row r="25" spans="2:5">
      <c r="B25" s="3">
        <f t="shared" si="0"/>
        <v>16</v>
      </c>
      <c r="C25" s="1"/>
      <c r="D25" s="1"/>
      <c r="E25" s="2"/>
    </row>
    <row r="26" spans="2:5">
      <c r="B26" s="3">
        <f t="shared" si="0"/>
        <v>17</v>
      </c>
      <c r="C26" s="1"/>
      <c r="D26" s="1"/>
      <c r="E26" s="2"/>
    </row>
    <row r="28" spans="2:5">
      <c r="C28" s="11" t="s">
        <v>8</v>
      </c>
      <c r="D28" s="12"/>
      <c r="E28" s="1" t="s">
        <v>67</v>
      </c>
    </row>
  </sheetData>
  <mergeCells count="6">
    <mergeCell ref="H1:J1"/>
    <mergeCell ref="B2:E2"/>
    <mergeCell ref="D4:E4"/>
    <mergeCell ref="D6:E6"/>
    <mergeCell ref="D7:E7"/>
    <mergeCell ref="D5:E5"/>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A1:J31"/>
  <sheetViews>
    <sheetView topLeftCell="A6" workbookViewId="0">
      <selection activeCell="B10" sqref="B10"/>
    </sheetView>
  </sheetViews>
  <sheetFormatPr defaultColWidth="8.88671875" defaultRowHeight="14.4"/>
  <cols>
    <col min="1" max="1" width="8.88671875" style="6"/>
    <col min="2" max="2" width="12.21875" style="6" customWidth="1"/>
    <col min="3" max="3" width="16.21875" style="6" customWidth="1"/>
    <col min="4" max="4" width="36.6640625" style="6" customWidth="1"/>
    <col min="5" max="5" width="41.44140625" style="6" customWidth="1"/>
    <col min="6" max="8" width="8.88671875" style="6"/>
    <col min="9" max="9" width="26.77734375" style="6" customWidth="1"/>
    <col min="10" max="16384" width="8.88671875" style="6"/>
  </cols>
  <sheetData>
    <row r="1" spans="1:10" ht="15.6">
      <c r="A1" s="4"/>
      <c r="B1" s="5" t="s">
        <v>3</v>
      </c>
      <c r="H1" s="33" t="s">
        <v>23</v>
      </c>
      <c r="I1" s="33"/>
      <c r="J1" s="33"/>
    </row>
    <row r="2" spans="1:10">
      <c r="B2" s="34" t="s">
        <v>17</v>
      </c>
      <c r="C2" s="34"/>
      <c r="D2" s="34"/>
      <c r="E2" s="34"/>
      <c r="H2" s="3"/>
      <c r="I2" s="19" t="s">
        <v>30</v>
      </c>
      <c r="J2" s="17" t="s">
        <v>24</v>
      </c>
    </row>
    <row r="3" spans="1:10">
      <c r="H3" s="17" t="s">
        <v>20</v>
      </c>
      <c r="I3" s="28" t="s">
        <v>33</v>
      </c>
      <c r="J3" s="28" t="s">
        <v>34</v>
      </c>
    </row>
    <row r="4" spans="1:10">
      <c r="C4" s="16" t="s">
        <v>0</v>
      </c>
      <c r="D4" s="41" t="s">
        <v>16</v>
      </c>
      <c r="E4" s="41"/>
      <c r="H4" s="17" t="s">
        <v>21</v>
      </c>
      <c r="I4" s="28" t="s">
        <v>35</v>
      </c>
      <c r="J4" s="28" t="s">
        <v>34</v>
      </c>
    </row>
    <row r="5" spans="1:10">
      <c r="C5" s="16" t="s">
        <v>9</v>
      </c>
      <c r="D5" s="42" t="s">
        <v>11</v>
      </c>
      <c r="E5" s="43"/>
      <c r="H5" s="17" t="s">
        <v>22</v>
      </c>
      <c r="I5" s="28" t="s">
        <v>36</v>
      </c>
      <c r="J5" s="28" t="s">
        <v>34</v>
      </c>
    </row>
    <row r="6" spans="1:10">
      <c r="B6" s="8"/>
      <c r="C6" s="9" t="s">
        <v>2</v>
      </c>
      <c r="D6" s="32" t="s">
        <v>57</v>
      </c>
      <c r="E6" s="32"/>
    </row>
    <row r="7" spans="1:10">
      <c r="C7" s="9" t="s">
        <v>1</v>
      </c>
      <c r="D7" s="32" t="s">
        <v>58</v>
      </c>
      <c r="E7" s="32"/>
    </row>
    <row r="9" spans="1:10">
      <c r="B9" s="10" t="s">
        <v>4</v>
      </c>
      <c r="C9" s="10" t="s">
        <v>5</v>
      </c>
      <c r="D9" s="10" t="s">
        <v>6</v>
      </c>
      <c r="E9" s="10" t="s">
        <v>7</v>
      </c>
    </row>
    <row r="10" spans="1:10" ht="72.599999999999994" customHeight="1">
      <c r="B10" s="3">
        <v>1</v>
      </c>
      <c r="C10" s="1" t="s">
        <v>70</v>
      </c>
      <c r="E10" s="2" t="s">
        <v>71</v>
      </c>
    </row>
    <row r="11" spans="1:10" ht="41.4" customHeight="1">
      <c r="B11" s="3">
        <v>2</v>
      </c>
      <c r="C11" s="1" t="s">
        <v>72</v>
      </c>
      <c r="D11" s="1"/>
      <c r="E11" s="2" t="s">
        <v>73</v>
      </c>
    </row>
    <row r="12" spans="1:10" ht="144">
      <c r="B12" s="3">
        <f t="shared" ref="B12:B29" si="0">B11+1</f>
        <v>3</v>
      </c>
      <c r="C12" s="1" t="s">
        <v>70</v>
      </c>
      <c r="D12" s="2" t="s">
        <v>74</v>
      </c>
      <c r="E12" s="2" t="s">
        <v>79</v>
      </c>
    </row>
    <row r="13" spans="1:10" ht="67.2" customHeight="1">
      <c r="B13" s="3">
        <f t="shared" si="0"/>
        <v>4</v>
      </c>
      <c r="C13" s="1" t="s">
        <v>75</v>
      </c>
      <c r="D13" s="2"/>
      <c r="E13" s="2" t="s">
        <v>80</v>
      </c>
    </row>
    <row r="14" spans="1:10">
      <c r="B14" s="3">
        <f t="shared" si="0"/>
        <v>5</v>
      </c>
      <c r="C14" s="1" t="s">
        <v>70</v>
      </c>
      <c r="D14" s="2"/>
      <c r="E14" s="2" t="s">
        <v>76</v>
      </c>
    </row>
    <row r="15" spans="1:10" ht="31.8" customHeight="1">
      <c r="B15" s="3">
        <f t="shared" si="0"/>
        <v>6</v>
      </c>
      <c r="C15" s="1" t="s">
        <v>70</v>
      </c>
      <c r="D15" s="2" t="s">
        <v>77</v>
      </c>
      <c r="E15" s="29" t="s">
        <v>81</v>
      </c>
    </row>
    <row r="16" spans="1:10">
      <c r="B16" s="3">
        <f t="shared" si="0"/>
        <v>7</v>
      </c>
      <c r="C16" s="1"/>
      <c r="D16" s="2"/>
      <c r="E16" s="2"/>
    </row>
    <row r="17" spans="2:5">
      <c r="B17" s="3">
        <f t="shared" si="0"/>
        <v>8</v>
      </c>
      <c r="C17" s="1"/>
      <c r="D17" s="2"/>
      <c r="E17" s="2"/>
    </row>
    <row r="18" spans="2:5">
      <c r="B18" s="3">
        <f t="shared" si="0"/>
        <v>9</v>
      </c>
      <c r="C18" s="1"/>
      <c r="D18" s="1"/>
      <c r="E18" s="2"/>
    </row>
    <row r="19" spans="2:5">
      <c r="B19" s="3">
        <f t="shared" si="0"/>
        <v>10</v>
      </c>
      <c r="C19" s="1"/>
      <c r="D19" s="2"/>
      <c r="E19" s="2"/>
    </row>
    <row r="20" spans="2:5">
      <c r="B20" s="3">
        <f t="shared" si="0"/>
        <v>11</v>
      </c>
      <c r="C20" s="1"/>
      <c r="D20" s="1"/>
      <c r="E20" s="2"/>
    </row>
    <row r="21" spans="2:5">
      <c r="B21" s="3">
        <f t="shared" si="0"/>
        <v>12</v>
      </c>
      <c r="C21" s="1"/>
      <c r="D21" s="2"/>
      <c r="E21" s="2"/>
    </row>
    <row r="22" spans="2:5">
      <c r="B22" s="3">
        <f t="shared" si="0"/>
        <v>13</v>
      </c>
      <c r="C22" s="1"/>
      <c r="D22" s="2"/>
      <c r="E22" s="2"/>
    </row>
    <row r="23" spans="2:5">
      <c r="B23" s="3">
        <f t="shared" si="0"/>
        <v>14</v>
      </c>
      <c r="C23" s="1"/>
      <c r="D23" s="2"/>
      <c r="E23" s="2"/>
    </row>
    <row r="24" spans="2:5">
      <c r="B24" s="3">
        <f t="shared" si="0"/>
        <v>15</v>
      </c>
      <c r="C24" s="1"/>
      <c r="D24" s="2"/>
      <c r="E24" s="2"/>
    </row>
    <row r="25" spans="2:5">
      <c r="B25" s="3">
        <f t="shared" si="0"/>
        <v>16</v>
      </c>
      <c r="C25" s="1"/>
      <c r="D25" s="1"/>
      <c r="E25" s="2"/>
    </row>
    <row r="26" spans="2:5">
      <c r="B26" s="3">
        <f t="shared" si="0"/>
        <v>17</v>
      </c>
      <c r="C26" s="1"/>
      <c r="D26" s="2"/>
      <c r="E26" s="1"/>
    </row>
    <row r="27" spans="2:5">
      <c r="B27" s="3">
        <f t="shared" si="0"/>
        <v>18</v>
      </c>
      <c r="C27" s="1"/>
      <c r="D27" s="2"/>
      <c r="E27" s="2"/>
    </row>
    <row r="28" spans="2:5">
      <c r="B28" s="3">
        <f t="shared" si="0"/>
        <v>19</v>
      </c>
      <c r="C28" s="1"/>
      <c r="D28" s="2"/>
      <c r="E28" s="2"/>
    </row>
    <row r="29" spans="2:5">
      <c r="B29" s="3">
        <f t="shared" si="0"/>
        <v>20</v>
      </c>
      <c r="C29" s="1"/>
      <c r="D29" s="2"/>
      <c r="E29" s="2"/>
    </row>
    <row r="31" spans="2:5">
      <c r="C31" s="11" t="s">
        <v>8</v>
      </c>
      <c r="D31" s="12"/>
      <c r="E31" s="1" t="s">
        <v>78</v>
      </c>
    </row>
  </sheetData>
  <mergeCells count="6">
    <mergeCell ref="D7:E7"/>
    <mergeCell ref="H1:J1"/>
    <mergeCell ref="D4:E4"/>
    <mergeCell ref="D6:E6"/>
    <mergeCell ref="B2:E2"/>
    <mergeCell ref="D5:E5"/>
  </mergeCell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79998168889431442"/>
  </sheetPr>
  <dimension ref="A1:J35"/>
  <sheetViews>
    <sheetView topLeftCell="A12" workbookViewId="0">
      <selection activeCell="F16" sqref="F16"/>
    </sheetView>
  </sheetViews>
  <sheetFormatPr defaultColWidth="8.88671875" defaultRowHeight="14.4"/>
  <cols>
    <col min="1" max="1" width="8.88671875" style="6"/>
    <col min="2" max="2" width="12.21875" style="6" customWidth="1"/>
    <col min="3" max="3" width="22.77734375" style="6" bestFit="1" customWidth="1"/>
    <col min="4" max="4" width="70.88671875" style="6" bestFit="1" customWidth="1"/>
    <col min="5" max="5" width="62.44140625" style="6" customWidth="1"/>
    <col min="6" max="6" width="51" style="6" bestFit="1" customWidth="1"/>
    <col min="7" max="8" width="8.88671875" style="6"/>
    <col min="9" max="9" width="26.77734375" style="6" customWidth="1"/>
    <col min="10" max="16384" width="8.88671875" style="6"/>
  </cols>
  <sheetData>
    <row r="1" spans="1:10" ht="15.6">
      <c r="A1" s="4"/>
      <c r="B1" s="5" t="s">
        <v>3</v>
      </c>
      <c r="H1" s="33" t="s">
        <v>23</v>
      </c>
      <c r="I1" s="33"/>
      <c r="J1" s="33"/>
    </row>
    <row r="2" spans="1:10">
      <c r="B2" s="34" t="s">
        <v>31</v>
      </c>
      <c r="C2" s="34"/>
      <c r="D2" s="34"/>
      <c r="E2" s="34"/>
      <c r="H2" s="3"/>
      <c r="I2" s="19" t="s">
        <v>30</v>
      </c>
      <c r="J2" s="17" t="s">
        <v>24</v>
      </c>
    </row>
    <row r="3" spans="1:10">
      <c r="H3" s="17" t="s">
        <v>20</v>
      </c>
      <c r="I3" s="28" t="s">
        <v>33</v>
      </c>
      <c r="J3" s="28" t="s">
        <v>34</v>
      </c>
    </row>
    <row r="4" spans="1:10">
      <c r="C4" s="16" t="s">
        <v>25</v>
      </c>
      <c r="D4" s="41" t="s">
        <v>83</v>
      </c>
      <c r="E4" s="41"/>
      <c r="H4" s="17" t="s">
        <v>21</v>
      </c>
      <c r="I4" s="28" t="s">
        <v>35</v>
      </c>
      <c r="J4" s="28" t="s">
        <v>34</v>
      </c>
    </row>
    <row r="5" spans="1:10">
      <c r="C5" s="9" t="s">
        <v>2</v>
      </c>
      <c r="D5" s="32" t="s">
        <v>82</v>
      </c>
      <c r="E5" s="32"/>
      <c r="H5" s="17" t="s">
        <v>22</v>
      </c>
      <c r="I5" s="28" t="s">
        <v>36</v>
      </c>
      <c r="J5" s="28" t="s">
        <v>34</v>
      </c>
    </row>
    <row r="6" spans="1:10">
      <c r="B6" s="8"/>
      <c r="C6" s="9" t="s">
        <v>1</v>
      </c>
      <c r="D6" s="46" t="s">
        <v>58</v>
      </c>
      <c r="E6" s="47"/>
      <c r="F6" s="20"/>
    </row>
    <row r="9" spans="1:10">
      <c r="B9" s="10" t="s">
        <v>4</v>
      </c>
      <c r="C9" s="10" t="s">
        <v>28</v>
      </c>
      <c r="D9" s="10" t="s">
        <v>27</v>
      </c>
      <c r="E9" s="10" t="s">
        <v>26</v>
      </c>
      <c r="F9" s="10" t="s">
        <v>29</v>
      </c>
    </row>
    <row r="10" spans="1:10" ht="39" customHeight="1">
      <c r="B10" s="3">
        <v>1</v>
      </c>
      <c r="C10" s="1" t="s">
        <v>84</v>
      </c>
      <c r="D10" s="2" t="s">
        <v>85</v>
      </c>
      <c r="E10" s="30" t="s">
        <v>86</v>
      </c>
      <c r="F10" s="30" t="s">
        <v>90</v>
      </c>
    </row>
    <row r="11" spans="1:10" ht="409.2" customHeight="1">
      <c r="B11" s="3">
        <f>B10+1</f>
        <v>2</v>
      </c>
      <c r="C11" s="1" t="s">
        <v>88</v>
      </c>
      <c r="D11" t="s">
        <v>87</v>
      </c>
      <c r="E11" s="2" t="s">
        <v>91</v>
      </c>
      <c r="F11" s="2" t="s">
        <v>89</v>
      </c>
    </row>
    <row r="12" spans="1:10" ht="187.2">
      <c r="B12" s="3">
        <f t="shared" ref="B12:B30" si="0">B11+1</f>
        <v>3</v>
      </c>
      <c r="C12" s="1" t="s">
        <v>93</v>
      </c>
      <c r="D12" s="31" t="s">
        <v>92</v>
      </c>
      <c r="E12" s="2" t="s">
        <v>94</v>
      </c>
      <c r="F12" s="2" t="s">
        <v>95</v>
      </c>
    </row>
    <row r="13" spans="1:10" ht="43.2">
      <c r="B13" s="3">
        <f t="shared" si="0"/>
        <v>4</v>
      </c>
      <c r="C13" s="1" t="s">
        <v>96</v>
      </c>
      <c r="D13" s="31" t="s">
        <v>97</v>
      </c>
      <c r="E13" s="2" t="s">
        <v>98</v>
      </c>
      <c r="F13" s="2" t="s">
        <v>99</v>
      </c>
    </row>
    <row r="14" spans="1:10" ht="43.2">
      <c r="B14" s="3">
        <f t="shared" si="0"/>
        <v>5</v>
      </c>
      <c r="C14" s="1" t="s">
        <v>101</v>
      </c>
      <c r="D14" s="31" t="s">
        <v>100</v>
      </c>
      <c r="E14" s="2" t="s">
        <v>102</v>
      </c>
      <c r="F14" s="2" t="s">
        <v>103</v>
      </c>
    </row>
    <row r="15" spans="1:10" ht="129.6">
      <c r="B15" s="3">
        <f t="shared" si="0"/>
        <v>6</v>
      </c>
      <c r="C15" s="1" t="s">
        <v>105</v>
      </c>
      <c r="D15" s="31" t="s">
        <v>104</v>
      </c>
      <c r="E15" s="2" t="s">
        <v>106</v>
      </c>
      <c r="F15" s="2" t="s">
        <v>107</v>
      </c>
    </row>
    <row r="16" spans="1:10">
      <c r="B16" s="3">
        <f t="shared" si="0"/>
        <v>7</v>
      </c>
      <c r="C16" s="1"/>
      <c r="D16" s="2"/>
      <c r="E16" s="2"/>
      <c r="F16" s="2"/>
    </row>
    <row r="17" spans="2:6">
      <c r="B17" s="3">
        <f t="shared" si="0"/>
        <v>8</v>
      </c>
      <c r="C17" s="1"/>
      <c r="D17" s="2"/>
      <c r="E17" s="2"/>
      <c r="F17" s="2"/>
    </row>
    <row r="18" spans="2:6">
      <c r="B18" s="3">
        <f t="shared" si="0"/>
        <v>9</v>
      </c>
      <c r="C18" s="1"/>
      <c r="D18" s="2"/>
      <c r="E18" s="2"/>
      <c r="F18" s="2"/>
    </row>
    <row r="19" spans="2:6">
      <c r="B19" s="3">
        <f t="shared" si="0"/>
        <v>10</v>
      </c>
      <c r="C19" s="1"/>
      <c r="D19" s="1"/>
      <c r="E19" s="2"/>
      <c r="F19" s="2"/>
    </row>
    <row r="20" spans="2:6">
      <c r="B20" s="3">
        <f t="shared" si="0"/>
        <v>11</v>
      </c>
      <c r="C20" s="1"/>
      <c r="D20" s="2"/>
      <c r="E20" s="2"/>
      <c r="F20" s="2"/>
    </row>
    <row r="21" spans="2:6">
      <c r="B21" s="3">
        <f t="shared" si="0"/>
        <v>12</v>
      </c>
      <c r="C21" s="1"/>
      <c r="D21" s="1"/>
      <c r="E21" s="2"/>
      <c r="F21" s="2"/>
    </row>
    <row r="22" spans="2:6">
      <c r="B22" s="3">
        <f t="shared" si="0"/>
        <v>13</v>
      </c>
      <c r="C22" s="1"/>
      <c r="D22" s="2"/>
      <c r="E22" s="2"/>
      <c r="F22" s="2"/>
    </row>
    <row r="23" spans="2:6">
      <c r="B23" s="3">
        <f t="shared" si="0"/>
        <v>14</v>
      </c>
      <c r="C23" s="1"/>
      <c r="D23" s="2"/>
      <c r="E23" s="2"/>
      <c r="F23" s="2"/>
    </row>
    <row r="24" spans="2:6">
      <c r="B24" s="3">
        <f t="shared" si="0"/>
        <v>15</v>
      </c>
      <c r="C24" s="1"/>
      <c r="D24" s="2"/>
      <c r="E24" s="2"/>
      <c r="F24" s="2"/>
    </row>
    <row r="25" spans="2:6">
      <c r="B25" s="3">
        <f t="shared" si="0"/>
        <v>16</v>
      </c>
      <c r="C25" s="1"/>
      <c r="D25" s="2"/>
      <c r="E25" s="2"/>
      <c r="F25" s="2"/>
    </row>
    <row r="26" spans="2:6">
      <c r="B26" s="3">
        <f t="shared" si="0"/>
        <v>17</v>
      </c>
      <c r="C26" s="1"/>
      <c r="D26" s="1"/>
      <c r="E26" s="2"/>
      <c r="F26" s="2"/>
    </row>
    <row r="27" spans="2:6">
      <c r="B27" s="3">
        <f t="shared" si="0"/>
        <v>18</v>
      </c>
      <c r="C27" s="1"/>
      <c r="D27" s="2"/>
      <c r="E27" s="1"/>
      <c r="F27" s="1"/>
    </row>
    <row r="28" spans="2:6">
      <c r="B28" s="3">
        <f t="shared" si="0"/>
        <v>19</v>
      </c>
      <c r="C28" s="1"/>
      <c r="D28" s="2"/>
      <c r="E28" s="2"/>
      <c r="F28" s="2"/>
    </row>
    <row r="29" spans="2:6">
      <c r="B29" s="3">
        <f t="shared" si="0"/>
        <v>20</v>
      </c>
      <c r="C29" s="1"/>
      <c r="D29" s="2"/>
      <c r="E29" s="2"/>
      <c r="F29" s="2"/>
    </row>
    <row r="30" spans="2:6">
      <c r="B30" s="3">
        <f t="shared" si="0"/>
        <v>21</v>
      </c>
      <c r="C30" s="1"/>
      <c r="D30" s="2"/>
      <c r="E30" s="2"/>
      <c r="F30" s="2"/>
    </row>
    <row r="32" spans="2:6">
      <c r="C32" s="44" t="s">
        <v>32</v>
      </c>
      <c r="D32" s="45"/>
      <c r="E32" s="45"/>
      <c r="F32" s="18"/>
    </row>
    <row r="35" spans="6:6">
      <c r="F35" s="21"/>
    </row>
  </sheetData>
  <mergeCells count="6">
    <mergeCell ref="C32:E32"/>
    <mergeCell ref="H1:J1"/>
    <mergeCell ref="B2:E2"/>
    <mergeCell ref="D4:E4"/>
    <mergeCell ref="D5:E5"/>
    <mergeCell ref="D6:E6"/>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Requirements Phase Defects</vt:lpstr>
      <vt:lpstr>Architect. Design Phase Defects</vt:lpstr>
      <vt:lpstr>Coding Phase Defects</vt:lpstr>
      <vt:lpstr>Tool-basedCodeAnalysis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Andreea</dc:creator>
  <cp:lastModifiedBy>Popovici Cosmina</cp:lastModifiedBy>
  <dcterms:created xsi:type="dcterms:W3CDTF">2015-02-21T15:59:19Z</dcterms:created>
  <dcterms:modified xsi:type="dcterms:W3CDTF">2026-03-05T13:11:41Z</dcterms:modified>
</cp:coreProperties>
</file>